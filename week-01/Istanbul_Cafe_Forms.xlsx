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fb.baslar/Desktop/everything_about_python/Year-Up_DataAnalytics/week-01/"/>
    </mc:Choice>
  </mc:AlternateContent>
  <xr:revisionPtr revIDLastSave="0" documentId="13_ncr:1_{6835D9ED-5EBA-B544-9FAE-B790B56F0FCF}" xr6:coauthVersionLast="47" xr6:coauthVersionMax="47" xr10:uidLastSave="{00000000-0000-0000-0000-000000000000}"/>
  <bookViews>
    <workbookView xWindow="0" yWindow="0" windowWidth="51200" windowHeight="28800" firstSheet="1" activeTab="4" xr2:uid="{64C6EEBC-B2BD-47A9-BB2B-55D76120BFAD}"/>
  </bookViews>
  <sheets>
    <sheet name="Responses" sheetId="17" r:id="rId1"/>
    <sheet name="Summary" sheetId="18" r:id="rId2"/>
    <sheet name="Likes" sheetId="19" r:id="rId3"/>
    <sheet name="Improvements" sheetId="20" r:id="rId4"/>
    <sheet name="Comments" sheetId="2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8" l="1"/>
  <c r="A6" i="18" a="1"/>
  <c r="A6" i="18"/>
  <c r="A2" i="18"/>
  <c r="A2" i="21" a="1"/>
  <c r="A2" i="21" s="1"/>
  <c r="B2" i="21" a="1"/>
  <c r="B2" i="21" s="1"/>
  <c r="A2" i="20" a="1"/>
  <c r="A2" i="20" s="1"/>
  <c r="B2" i="20" a="1"/>
  <c r="B2" i="20" s="1"/>
  <c r="A2" i="19" a="1"/>
  <c r="A2" i="19" s="1"/>
  <c r="B2" i="19" a="1"/>
  <c r="B2" i="19" s="1"/>
  <c r="B36" i="18"/>
  <c r="B35" i="18"/>
  <c r="B34" i="18"/>
  <c r="B29" i="18"/>
  <c r="B28" i="18"/>
  <c r="B27" i="18"/>
  <c r="B22" i="18"/>
  <c r="B21" i="18"/>
  <c r="B20" i="18"/>
  <c r="A13" i="18" a="1"/>
  <c r="A13" i="18" s="1"/>
  <c r="B13" i="18" a="1"/>
  <c r="B13" i="18" s="1"/>
  <c r="C13" i="18" a="1"/>
  <c r="C13" i="18" s="1"/>
  <c r="B6" i="18" a="1"/>
  <c r="B6" i="18" s="1"/>
  <c r="C6" i="18" a="1"/>
  <c r="C6" i="18" s="1"/>
  <c r="B2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<sst xmlns="http://schemas.openxmlformats.org/spreadsheetml/2006/main" count="97" uniqueCount="71">
  <si>
    <t>Id</t>
  </si>
  <si>
    <t>Start time</t>
  </si>
  <si>
    <t>Completion time</t>
  </si>
  <si>
    <t>Email</t>
  </si>
  <si>
    <t>Name</t>
  </si>
  <si>
    <t>Location</t>
  </si>
  <si>
    <t>What did you enjoy from our menu today?</t>
  </si>
  <si>
    <t>How often do you visit or order from Cafe Istanbul?</t>
  </si>
  <si>
    <t>We are designing a new Customer Rewards Program! Which perk excites you the most?</t>
  </si>
  <si>
    <t>How likely are you to join this loyalty program?</t>
  </si>
  <si>
    <t>Overall Satisfaction</t>
  </si>
  <si>
    <t>Any additional suggestions for enhancing our service?</t>
  </si>
  <si>
    <t>ccelik@my.yearupunited.org</t>
  </si>
  <si>
    <t>cagla celik</t>
  </si>
  <si>
    <t>Chicago</t>
  </si>
  <si>
    <t>Dessert (Baklava, Kunefe, etc.)</t>
  </si>
  <si>
    <t>1-2 times a month</t>
  </si>
  <si>
    <t>Earning points toward a free Kebab or Entree</t>
  </si>
  <si>
    <t>Better pricing and friendlier staff</t>
  </si>
  <si>
    <t>kmarsh1@my.yearupunited.org</t>
  </si>
  <si>
    <t>kiersten marsh</t>
  </si>
  <si>
    <t xml:space="preserve">Antarctica </t>
  </si>
  <si>
    <t>Kebabs / Grilled Meats</t>
  </si>
  <si>
    <t>Earning points toward a free Kebab or Entree;A free dessert (like Baklava) on your birthday</t>
  </si>
  <si>
    <t>ssimsek@my.yearupunited.org</t>
  </si>
  <si>
    <t>sultan simsek</t>
  </si>
  <si>
    <t>United States</t>
  </si>
  <si>
    <t>A free dessert (like Baklava) on your birthday</t>
  </si>
  <si>
    <t>wpoindexter@my.yearupunited.org</t>
  </si>
  <si>
    <t>william poindexter</t>
  </si>
  <si>
    <t>Meze / Appetizers</t>
  </si>
  <si>
    <t>First time</t>
  </si>
  <si>
    <t>Free Turkish Tea or Coffee with every visit</t>
  </si>
  <si>
    <t>lpham1@my.yearupunited.org</t>
  </si>
  <si>
    <t>longley pham</t>
  </si>
  <si>
    <t>The Ocean</t>
  </si>
  <si>
    <t>tarista@my.yearupunited.org</t>
  </si>
  <si>
    <t>tracy arista</t>
  </si>
  <si>
    <t>usa</t>
  </si>
  <si>
    <t>Pide / Lahmacun</t>
  </si>
  <si>
    <t>mruiz3@my.yearupunited.org</t>
  </si>
  <si>
    <t>maritza ruiz</t>
  </si>
  <si>
    <t>USA</t>
  </si>
  <si>
    <t>N/A</t>
  </si>
  <si>
    <t>edebero@my.yearupunited.org</t>
  </si>
  <si>
    <t>eyerusalem debero</t>
  </si>
  <si>
    <t>Dallas, Texas</t>
  </si>
  <si>
    <t>Free Turkish Tea or Coffee with every visit;A free dessert (like Baklava) on your birthday</t>
  </si>
  <si>
    <t>Great food and service. It would be nice to have faster service during busy hours and more combo meal options.</t>
  </si>
  <si>
    <t>Overall Satisfaction Rate (%)</t>
  </si>
  <si>
    <t>Response Count</t>
  </si>
  <si>
    <t>Overall Satisfaction by Gender</t>
  </si>
  <si>
    <t>Gender</t>
  </si>
  <si>
    <t>Overall Satisfaction by Relationship</t>
  </si>
  <si>
    <t>Relationship with Our Organization</t>
  </si>
  <si>
    <t>Customer Support &amp; Interaction Breakdown</t>
  </si>
  <si>
    <t>Area</t>
  </si>
  <si>
    <t>Satisfaction Rate</t>
  </si>
  <si>
    <t>Responsiveness</t>
  </si>
  <si>
    <t>Resolution Timeliness</t>
  </si>
  <si>
    <t>Customer Valuation</t>
  </si>
  <si>
    <t>Ease of Doing Business Breakdown</t>
  </si>
  <si>
    <t>Navigation</t>
  </si>
  <si>
    <t>Ordering Process</t>
  </si>
  <si>
    <t>Information Accessibility</t>
  </si>
  <si>
    <t>Communication &amp; Transparency Breakdown</t>
  </si>
  <si>
    <t>Effective Communication</t>
  </si>
  <si>
    <t>Timely Updates</t>
  </si>
  <si>
    <t>Clarity of Information</t>
  </si>
  <si>
    <t>What did you like most about our service experience?</t>
  </si>
  <si>
    <t>Which areas of our service could be improved?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</si>
</sst>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B9CD3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0E8D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F8F00"/>
        <bgColor indexed="64"/>
      </patternFill>
    </fill>
    <fill>
      <patternFill patternType="solid">
        <fgColor rgb="FFFFE0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4" fillId="6" borderId="0" xfId="0" applyFont="1" applyFill="1"/>
    <xf numFmtId="0" fontId="1" fillId="8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5" fillId="2" borderId="0" xfId="0" applyFont="1" applyFill="1"/>
    <xf numFmtId="49" fontId="0" fillId="0" borderId="0" xfId="0" applyNumberFormat="1"/>
    <xf numFmtId="0" fontId="2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1" fillId="5" borderId="0" xfId="0" applyNumberFormat="1" applyFont="1" applyFill="1" applyAlignment="1">
      <alignment vertical="center"/>
    </xf>
    <xf numFmtId="0" fontId="4" fillId="6" borderId="0" xfId="0" applyNumberFormat="1" applyFont="1" applyFill="1"/>
    <xf numFmtId="0" fontId="0" fillId="0" borderId="0" xfId="0" applyNumberFormat="1"/>
    <xf numFmtId="0" fontId="1" fillId="8" borderId="0" xfId="0" applyNumberFormat="1" applyFont="1" applyFill="1" applyAlignment="1">
      <alignment vertical="center"/>
    </xf>
    <xf numFmtId="0" fontId="1" fillId="10" borderId="0" xfId="0" applyNumberFormat="1" applyFont="1" applyFill="1" applyAlignment="1">
      <alignment vertical="center"/>
    </xf>
    <xf numFmtId="0" fontId="1" fillId="12" borderId="0" xfId="0" applyNumberFormat="1" applyFont="1" applyFill="1" applyAlignment="1">
      <alignment vertical="center"/>
    </xf>
    <xf numFmtId="0" fontId="1" fillId="14" borderId="0" xfId="0" applyNumberFormat="1" applyFont="1" applyFill="1" applyAlignment="1">
      <alignment vertical="center"/>
    </xf>
  </cellXfs>
  <cellStyles count="1">
    <cellStyle name="Normal" xfId="0" builtinId="0"/>
  </cellStyles>
  <dxfs count="10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157843</xdr:colOff>
      <xdr:row>1</xdr:row>
      <xdr:rowOff>800100</xdr:rowOff>
    </xdr:from>
    <xdr:to>
      <xdr:col>18</xdr:col>
      <xdr:colOff>195943</xdr:colOff>
      <xdr:row>20</xdr:row>
      <xdr:rowOff>21771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EE1387-642F-C5FD-0189-EFF8F82F9969}"/>
            </a:ext>
          </a:extLst>
        </xdr:cNvPr>
        <xdr:cNvSpPr txBox="1"/>
      </xdr:nvSpPr>
      <xdr:spPr>
        <a:xfrm>
          <a:off x="17861643" y="1752600"/>
          <a:ext cx="5422900" cy="5127171"/>
        </a:xfrm>
        <a:prstGeom prst="rect">
          <a:avLst/>
        </a:prstGeom>
        <a:solidFill>
          <a:srgbClr val="D3D3D3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📌 How to Navigate This Summary Sheet: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Summary Overview: Displays the total number of responses and key metrics derived from your data.
- Breakdown Tables: Detailed insights based on the following areas: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Customer Support &amp; Interaction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Ease of Doing Business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Communication &amp; Transparency Breakdown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Pivot Tables: Dynamic data analysis for the following categories: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Gender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  - Overall Satisfaction by Relationship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</a:t>
          </a: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⭐ Tips: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</a:rPr>
            <a:t>
- Click on the data cells to view the formulas and related questions. You can customize these formulas to map to other questions as needed.
 - Satisfaction rate = Percentage of responses that selected 'Very Satisfied' or 'Satisfied'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9" totalsRowShown="0">
  <autoFilter ref="A1:L9" xr:uid="{00000000-0009-0000-0100-000001000000}"/>
  <tableColumns count="12">
    <tableColumn id="1" xr3:uid="{00000000-0010-0000-0000-000001000000}" name="Id" data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7" xr3:uid="{00000000-0010-0000-0000-000007000000}" name="Location" dataDxfId="6">
      <extLst>
        <ext xmlns:xlmsforms="http://schemas.microsoft.com/office/spreadsheetml/2023/msForms" uri="{FCC71383-01E1-4257-9335-427F07BE8D7F}">
          <xlmsforms:question id="rd47eaab4ffa2a0b590dae0b5c4e67c6d"/>
        </ext>
      </extLst>
    </tableColumn>
    <tableColumn id="8" xr3:uid="{00000000-0010-0000-0000-000008000000}" name="What did you enjoy from our menu today?" dataDxfId="5">
      <extLst>
        <ext xmlns:xlmsforms="http://schemas.microsoft.com/office/spreadsheetml/2023/msForms" uri="{FCC71383-01E1-4257-9335-427F07BE8D7F}">
          <xlmsforms:question id="r71f38c569fa103b492a5c1c54acfa9d2"/>
        </ext>
      </extLst>
    </tableColumn>
    <tableColumn id="22" xr3:uid="{800F81AD-B767-4D18-BD95-08C5F6E46062}" name="How often do you visit or order from Cafe Istanbul?" dataDxfId="4">
      <extLst>
        <ext xmlns:xlmsforms="http://schemas.microsoft.com/office/spreadsheetml/2023/msForms" uri="{FCC71383-01E1-4257-9335-427F07BE8D7F}">
          <xlmsforms:question id="r878116c7fbf14eb393d7de44faedf48b"/>
        </ext>
      </extLst>
    </tableColumn>
    <tableColumn id="23" xr3:uid="{9CA0D0C2-F944-4737-A0E9-C7317A9CA70D}" name="We are designing a new Customer Rewards Program! Which perk excites you the most?" dataDxfId="3">
      <extLst>
        <ext xmlns:xlmsforms="http://schemas.microsoft.com/office/spreadsheetml/2023/msForms" uri="{FCC71383-01E1-4257-9335-427F07BE8D7F}">
          <xlmsforms:question id="r892e7f8c5057440eb3096bf021f47674"/>
        </ext>
      </extLst>
    </tableColumn>
    <tableColumn id="24" xr3:uid="{1DA55DE8-0F9B-4CA2-ABF2-4CC091B5D59C}" name="How likely are you to join this loyalty program?" dataDxfId="2">
      <extLst>
        <ext xmlns:xlmsforms="http://schemas.microsoft.com/office/spreadsheetml/2023/msForms" uri="{FCC71383-01E1-4257-9335-427F07BE8D7F}">
          <xlmsforms:question id="rcffc96f1c1a9496baebdd78de014ed67"/>
        </ext>
      </extLst>
    </tableColumn>
    <tableColumn id="9" xr3:uid="{00000000-0010-0000-0000-000009000000}" name="Overall Satisfaction" dataDxfId="1">
      <extLst>
        <ext xmlns:xlmsforms="http://schemas.microsoft.com/office/spreadsheetml/2023/msForms" uri="{FCC71383-01E1-4257-9335-427F07BE8D7F}">
          <xlmsforms:question id="r05fa99674c8adf25bc6d88e49ebd682a"/>
        </ext>
      </extLst>
    </tableColumn>
    <tableColumn id="21" xr3:uid="{00000000-0010-0000-0000-000015000000}" name="Any additional suggestions for enhancing our service?" dataDxfId="0">
      <extLst>
        <ext xmlns:xlmsforms="http://schemas.microsoft.com/office/spreadsheetml/2023/msForms" uri="{FCC71383-01E1-4257-9335-427F07BE8D7F}">
          <xlmsforms:question id="rdcf86d4d4e1ea268a658087d0509ba9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8HkPlNsNcpCtatWBel5sXVUNlMwUUNPSzgxT0FDWE1GRzBTNVdPSjYxQS4u" isFormConnected="1" maxResponseId="8" latestEventMarker="3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r37e7030182c930139836db327348c8f7</xlmsforms:syncedQuestionId>
        <xlmsforms:syncedQuestionId>rd47eaab4ffa2a0b590dae0b5c4e67c6d</xlmsforms:syncedQuestionId>
        <xlmsforms:syncedQuestionId>r71f38c569fa103b492a5c1c54acfa9d2</xlmsforms:syncedQuestionId>
        <xlmsforms:syncedQuestionId>r05fa99674c8adf25bc6d88e49ebd682a</xlmsforms:syncedQuestionId>
        <xlmsforms:syncedQuestionId>rc4ba68a0c7b0b973ba9886a220bf2ce7</xlmsforms:syncedQuestionId>
        <xlmsforms:syncedQuestionId>r4973e64df7dadb7fb93967639c7fc83b</xlmsforms:syncedQuestionId>
        <xlmsforms:syncedQuestionId>r044b12442a46ef2e822c76a8ade527ef</xlmsforms:syncedQuestionId>
        <xlmsforms:syncedQuestionId>rbf7bae9a69ebd6dfbb1f20a065616ec4</xlmsforms:syncedQuestionId>
        <xlmsforms:syncedQuestionId>r92f984be9f0118e18ca33c840893efda</xlmsforms:syncedQuestionId>
        <xlmsforms:syncedQuestionId>r9b1125245dbb498a85d4c0b4127aa1c8</xlmsforms:syncedQuestionId>
        <xlmsforms:syncedQuestionId>rc8a657a67f246e18964d81cdfb77390e</xlmsforms:syncedQuestionId>
        <xlmsforms:syncedQuestionId>r87d98dfa9474332c92fa3791d2e5bd6d</xlmsforms:syncedQuestionId>
        <xlmsforms:syncedQuestionId>rdb05bc279968e7ce9e33993f5e5dbea8</xlmsforms:syncedQuestionId>
        <xlmsforms:syncedQuestionId>r25416781abac7dcaa8e83b2e627854b7</xlmsforms:syncedQuestionId>
        <xlmsforms:syncedQuestionId>rfaa3be1de50cb2b8a76c5959f7d50456</xlmsforms:syncedQuestionId>
        <xlmsforms:syncedQuestionId>rdcf86d4d4e1ea268a658087d0509ba95</xlmsforms:syncedQuestionId>
        <xlmsforms:syncedQuestionId>r878116c7fbf14eb393d7de44faedf48b</xlmsforms:syncedQuestionId>
        <xlmsforms:syncedQuestionId>r892e7f8c5057440eb3096bf021f47674</xlmsforms:syncedQuestionId>
        <xlmsforms:syncedQuestionId>rcffc96f1c1a9496baebdd78de014ed67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616B-80E5-453C-8814-383396EBBE27}">
  <dimension ref="A1:L9"/>
  <sheetViews>
    <sheetView workbookViewId="0"/>
  </sheetViews>
  <sheetFormatPr baseColWidth="10" defaultColWidth="8.83203125" defaultRowHeight="15" x14ac:dyDescent="0.2"/>
  <cols>
    <col min="1" max="8" width="20" bestFit="1" customWidth="1"/>
    <col min="9" max="11" width="19" customWidth="1"/>
    <col min="12" max="21" width="20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>
        <v>46121.566250000003</v>
      </c>
      <c r="C2">
        <v>46121.567326388897</v>
      </c>
      <c r="D2" s="10" t="s">
        <v>12</v>
      </c>
      <c r="E2" s="10" t="s">
        <v>13</v>
      </c>
      <c r="F2" s="10" t="s">
        <v>14</v>
      </c>
      <c r="G2" s="10" t="s">
        <v>15</v>
      </c>
      <c r="H2" t="s">
        <v>16</v>
      </c>
      <c r="I2" t="s">
        <v>17</v>
      </c>
      <c r="J2">
        <v>4</v>
      </c>
      <c r="K2">
        <v>4</v>
      </c>
      <c r="L2" s="10" t="s">
        <v>18</v>
      </c>
    </row>
    <row r="3" spans="1:12" x14ac:dyDescent="0.2">
      <c r="A3">
        <v>2</v>
      </c>
      <c r="B3">
        <v>46121.572916666701</v>
      </c>
      <c r="C3">
        <v>46121.574548611097</v>
      </c>
      <c r="D3" s="10" t="s">
        <v>19</v>
      </c>
      <c r="E3" s="10" t="s">
        <v>20</v>
      </c>
      <c r="F3" s="10" t="s">
        <v>21</v>
      </c>
      <c r="G3" s="10" t="s">
        <v>22</v>
      </c>
      <c r="H3" t="s">
        <v>16</v>
      </c>
      <c r="I3" t="s">
        <v>23</v>
      </c>
      <c r="J3">
        <v>10</v>
      </c>
      <c r="K3">
        <v>5</v>
      </c>
      <c r="L3" s="10"/>
    </row>
    <row r="4" spans="1:12" x14ac:dyDescent="0.2">
      <c r="A4">
        <v>3</v>
      </c>
      <c r="B4">
        <v>46121.575416666703</v>
      </c>
      <c r="C4">
        <v>46121.580474536997</v>
      </c>
      <c r="D4" s="10" t="s">
        <v>24</v>
      </c>
      <c r="E4" s="10" t="s">
        <v>25</v>
      </c>
      <c r="F4" s="10" t="s">
        <v>26</v>
      </c>
      <c r="G4" s="10" t="s">
        <v>15</v>
      </c>
      <c r="H4" t="s">
        <v>16</v>
      </c>
      <c r="I4" t="s">
        <v>27</v>
      </c>
      <c r="J4">
        <v>4</v>
      </c>
      <c r="K4">
        <v>5</v>
      </c>
      <c r="L4" s="10"/>
    </row>
    <row r="5" spans="1:12" x14ac:dyDescent="0.2">
      <c r="A5">
        <v>4</v>
      </c>
      <c r="B5">
        <v>46121.582523148099</v>
      </c>
      <c r="C5">
        <v>46121.582743055602</v>
      </c>
      <c r="D5" s="10" t="s">
        <v>28</v>
      </c>
      <c r="E5" s="10" t="s">
        <v>29</v>
      </c>
      <c r="F5" s="10" t="s">
        <v>14</v>
      </c>
      <c r="G5" s="10" t="s">
        <v>30</v>
      </c>
      <c r="H5" t="s">
        <v>31</v>
      </c>
      <c r="I5" t="s">
        <v>32</v>
      </c>
      <c r="J5">
        <v>10</v>
      </c>
      <c r="K5">
        <v>5</v>
      </c>
      <c r="L5" s="10"/>
    </row>
    <row r="6" spans="1:12" x14ac:dyDescent="0.2">
      <c r="A6">
        <v>5</v>
      </c>
      <c r="B6">
        <v>46121.6028240741</v>
      </c>
      <c r="C6">
        <v>46121.606041666702</v>
      </c>
      <c r="D6" s="10" t="s">
        <v>33</v>
      </c>
      <c r="E6" s="10" t="s">
        <v>34</v>
      </c>
      <c r="F6" s="10" t="s">
        <v>35</v>
      </c>
      <c r="G6" s="10" t="s">
        <v>30</v>
      </c>
      <c r="H6" t="s">
        <v>16</v>
      </c>
      <c r="I6" t="s">
        <v>27</v>
      </c>
      <c r="J6">
        <v>7</v>
      </c>
      <c r="K6">
        <v>4</v>
      </c>
      <c r="L6" s="10"/>
    </row>
    <row r="7" spans="1:12" x14ac:dyDescent="0.2">
      <c r="A7">
        <v>6</v>
      </c>
      <c r="B7">
        <v>46121.6403125</v>
      </c>
      <c r="C7">
        <v>46121.641087962998</v>
      </c>
      <c r="D7" s="10" t="s">
        <v>36</v>
      </c>
      <c r="E7" s="10" t="s">
        <v>37</v>
      </c>
      <c r="F7" s="10" t="s">
        <v>38</v>
      </c>
      <c r="G7" s="10" t="s">
        <v>39</v>
      </c>
      <c r="H7" t="s">
        <v>16</v>
      </c>
      <c r="I7" t="s">
        <v>32</v>
      </c>
      <c r="J7">
        <v>6</v>
      </c>
      <c r="K7">
        <v>3</v>
      </c>
      <c r="L7" s="10"/>
    </row>
    <row r="8" spans="1:12" x14ac:dyDescent="0.2">
      <c r="A8">
        <v>7</v>
      </c>
      <c r="B8">
        <v>46121.724120370403</v>
      </c>
      <c r="C8">
        <v>46121.728333333303</v>
      </c>
      <c r="D8" s="10" t="s">
        <v>40</v>
      </c>
      <c r="E8" s="10" t="s">
        <v>41</v>
      </c>
      <c r="F8" s="10" t="s">
        <v>42</v>
      </c>
      <c r="G8" s="10" t="s">
        <v>22</v>
      </c>
      <c r="H8" t="s">
        <v>31</v>
      </c>
      <c r="I8" t="s">
        <v>27</v>
      </c>
      <c r="J8">
        <v>7</v>
      </c>
      <c r="K8">
        <v>4</v>
      </c>
      <c r="L8" s="10" t="s">
        <v>43</v>
      </c>
    </row>
    <row r="9" spans="1:12" x14ac:dyDescent="0.2">
      <c r="A9">
        <v>8</v>
      </c>
      <c r="B9">
        <v>46121.7576736111</v>
      </c>
      <c r="C9">
        <v>46121.759131944404</v>
      </c>
      <c r="D9" s="10" t="s">
        <v>44</v>
      </c>
      <c r="E9" s="10" t="s">
        <v>45</v>
      </c>
      <c r="F9" s="10" t="s">
        <v>46</v>
      </c>
      <c r="G9" s="10" t="s">
        <v>22</v>
      </c>
      <c r="H9" t="s">
        <v>16</v>
      </c>
      <c r="I9" t="s">
        <v>47</v>
      </c>
      <c r="J9">
        <v>10</v>
      </c>
      <c r="K9">
        <v>5</v>
      </c>
      <c r="L9" s="10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0247-9C28-45BF-A227-60B2F2F5BFA5}">
  <dimension ref="A1:D36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44.83203125" customWidth="1"/>
    <col min="2" max="2" width="44.83203125" style="20" customWidth="1"/>
    <col min="3" max="4" width="44.83203125" customWidth="1"/>
  </cols>
  <sheetData>
    <row r="1" spans="1:4" ht="75" customHeight="1" x14ac:dyDescent="0.2">
      <c r="A1" s="1" t="s">
        <v>49</v>
      </c>
      <c r="B1" s="16" t="s">
        <v>50</v>
      </c>
    </row>
    <row r="2" spans="1:4" ht="75" customHeight="1" x14ac:dyDescent="0.2">
      <c r="A2" s="2">
        <f>(COUNTIF(OfficeForms.Table[Overall Satisfaction], "4") + COUNTIF(OfficeForms.Table[Overall Satisfaction], "5")) / COUNTIF(OfficeForms.Table[Overall Satisfaction], "&lt;&gt;")</f>
        <v>0.875</v>
      </c>
      <c r="B2" s="17">
        <f>COUNTIF(OfficeForms.Table[Id], "&lt;&gt;")</f>
        <v>8</v>
      </c>
      <c r="D2">
        <f>C2-B2</f>
        <v>-8</v>
      </c>
    </row>
    <row r="4" spans="1:4" ht="40" customHeight="1" x14ac:dyDescent="0.2">
      <c r="A4" s="11" t="s">
        <v>51</v>
      </c>
      <c r="B4" s="11"/>
      <c r="C4" s="11"/>
    </row>
    <row r="5" spans="1:4" ht="30" customHeight="1" x14ac:dyDescent="0.2">
      <c r="A5" s="3" t="s">
        <v>52</v>
      </c>
      <c r="B5" s="18" t="s">
        <v>49</v>
      </c>
      <c r="C5" s="3" t="s">
        <v>50</v>
      </c>
    </row>
    <row r="6" spans="1:4" x14ac:dyDescent="0.2">
      <c r="A6" s="4" t="e" cm="1">
        <f t="array" ref="A6">_xlfn.UNIQUE(_xlfn._xlws.FILTER(#REF!,#REF!&lt;&gt; "" ))</f>
        <v>#REF!</v>
      </c>
      <c r="B6" s="19" t="e" cm="1">
        <f t="array" ref="B6">_xlfn.MAKEARRAY(ROWS(_xlfn.UNIQUE(_xlfn._xlws.FILTER(#REF!,#REF!&lt;&gt; "" ))), 1, _xlfn.LAMBDA(_xlpm.r,_xlpm.c, (COUNTIFS(#REF!, INDEX(_xlfn.UNIQUE(_xlfn._xlws.FILTER(#REF!,#REF!&lt;&gt; "" )), _xlpm.r, 1), OfficeForms.Table[Overall Satisfaction], "4") + COUNTIFS(#REF!, INDEX(_xlfn.UNIQUE(_xlfn._xlws.FILTER(#REF!,#REF!&lt;&gt; "" )), _xlpm.r, 1), OfficeForms.Table[Overall Satisfaction], "5")) / COUNTIF(#REF!, INDEX(_xlfn.UNIQUE(_xlfn._xlws.FILTER(#REF!,#REF!&lt;&gt; "" )), _xlpm.r, 1))))</f>
        <v>#REF!</v>
      </c>
      <c r="C6" s="4" t="e" cm="1">
        <f t="array" ref="C6">_xlfn.MAKEARRAY(ROWS(_xlfn.UNIQUE(_xlfn._xlws.FILTER(#REF!,#REF!&lt;&gt; "" ))), 1, _xlfn.LAMBDA(_xlpm.r,_xlpm.c, COUNTIF(#REF!, INDEX(_xlfn.UNIQUE(_xlfn._xlws.FILTER(#REF!,#REF!&lt;&gt; "" )), _xlpm.r, 1))))</f>
        <v>#REF!</v>
      </c>
    </row>
    <row r="11" spans="1:4" ht="40" customHeight="1" x14ac:dyDescent="0.2">
      <c r="A11" s="12" t="s">
        <v>53</v>
      </c>
      <c r="B11" s="12"/>
      <c r="C11" s="12"/>
    </row>
    <row r="12" spans="1:4" ht="30" customHeight="1" x14ac:dyDescent="0.2">
      <c r="A12" s="5" t="s">
        <v>54</v>
      </c>
      <c r="B12" s="21" t="s">
        <v>49</v>
      </c>
      <c r="C12" s="5" t="s">
        <v>50</v>
      </c>
    </row>
    <row r="13" spans="1:4" x14ac:dyDescent="0.2">
      <c r="A13" s="4" t="str" cm="1">
        <f t="array" ref="A13:A16">_xlfn.UNIQUE(_xlfn._xlws.FILTER(OfficeForms.Table[What did you enjoy from our menu today?], OfficeForms.Table[What did you enjoy from our menu today?]&lt;&gt;"" ))</f>
        <v>Dessert (Baklava, Kunefe, etc.)</v>
      </c>
      <c r="B13" s="19" cm="1">
        <f t="array" ref="B13:B16">_xlfn.MAKEARRAY(ROWS(_xlfn.UNIQUE(_xlfn._xlws.FILTER(OfficeForms.Table[What did you enjoy from our menu today?], OfficeForms.Table[What did you enjoy from our menu today?]&lt;&gt;"" ))), 1, _xlfn.LAMBDA(_xlpm.r,_xlpm.c, (COUNTIFS(OfficeForms.Table[What did you enjoy from our menu today?], INDEX(_xlfn.UNIQUE(_xlfn._xlws.FILTER(OfficeForms.Table[What did you enjoy from our menu today?], OfficeForms.Table[What did you enjoy from our menu today?]&lt;&gt;"" )), _xlpm.r, 1), OfficeForms.Table[Overall Satisfaction], "4") + COUNTIFS(OfficeForms.Table[What did you enjoy from our menu today?], INDEX(_xlfn.UNIQUE(_xlfn._xlws.FILTER(OfficeForms.Table[What did you enjoy from our menu today?], OfficeForms.Table[What did you enjoy from our menu today?]&lt;&gt;"" )), _xlpm.r, 1), OfficeForms.Table[Overall Satisfaction], "5")) / COUNTIF(OfficeForms.Table[What did you enjoy from our menu today?], INDEX(_xlfn.UNIQUE(_xlfn._xlws.FILTER(OfficeForms.Table[What did you enjoy from our menu today?], OfficeForms.Table[What did you enjoy from our menu today?]&lt;&gt;"" )), _xlpm.r, 1))))</f>
        <v>1</v>
      </c>
      <c r="C13" s="4" cm="1">
        <f t="array" ref="C13:C16">_xlfn.MAKEARRAY(ROWS(_xlfn.UNIQUE(_xlfn._xlws.FILTER(OfficeForms.Table[What did you enjoy from our menu today?], OfficeForms.Table[What did you enjoy from our menu today?]&lt;&gt;"" ))), 1, _xlfn.LAMBDA(_xlpm.r,_xlpm.c, COUNTIF(OfficeForms.Table[What did you enjoy from our menu today?], INDEX(_xlfn.UNIQUE(_xlfn._xlws.FILTER(OfficeForms.Table[What did you enjoy from our menu today?], OfficeForms.Table[What did you enjoy from our menu today?]&lt;&gt;"" )), _xlpm.r, 1))))</f>
        <v>2</v>
      </c>
    </row>
    <row r="14" spans="1:4" x14ac:dyDescent="0.2">
      <c r="A14" t="str">
        <v>Kebabs / Grilled Meats</v>
      </c>
      <c r="B14" s="20">
        <v>1</v>
      </c>
      <c r="C14">
        <v>3</v>
      </c>
    </row>
    <row r="15" spans="1:4" x14ac:dyDescent="0.2">
      <c r="A15" t="str">
        <v>Meze / Appetizers</v>
      </c>
      <c r="B15" s="20">
        <v>1</v>
      </c>
      <c r="C15">
        <v>2</v>
      </c>
    </row>
    <row r="16" spans="1:4" x14ac:dyDescent="0.2">
      <c r="A16" t="str">
        <v>Pide / Lahmacun</v>
      </c>
      <c r="B16" s="20">
        <v>0</v>
      </c>
      <c r="C16">
        <v>1</v>
      </c>
    </row>
    <row r="18" spans="1:2" ht="40" customHeight="1" x14ac:dyDescent="0.2">
      <c r="A18" s="13" t="s">
        <v>55</v>
      </c>
      <c r="B18" s="13"/>
    </row>
    <row r="19" spans="1:2" ht="30" customHeight="1" x14ac:dyDescent="0.2">
      <c r="A19" s="6" t="s">
        <v>56</v>
      </c>
      <c r="B19" s="22" t="s">
        <v>57</v>
      </c>
    </row>
    <row r="20" spans="1:2" x14ac:dyDescent="0.2">
      <c r="A20" s="4" t="s">
        <v>58</v>
      </c>
      <c r="B20" s="19" t="e">
        <f>(COUNTIF(#REF!, "Excellent") + COUNTIF(#REF!, "Good")) / COUNTIF(#REF!, "&lt;&gt;")</f>
        <v>#REF!</v>
      </c>
    </row>
    <row r="21" spans="1:2" x14ac:dyDescent="0.2">
      <c r="A21" s="4" t="s">
        <v>59</v>
      </c>
      <c r="B21" s="19" t="e">
        <f>(COUNTIF(#REF!, "Excellent") + COUNTIF(#REF!, "Good")) / COUNTIF(#REF!, "&lt;&gt;")</f>
        <v>#REF!</v>
      </c>
    </row>
    <row r="22" spans="1:2" x14ac:dyDescent="0.2">
      <c r="A22" s="4" t="s">
        <v>60</v>
      </c>
      <c r="B22" s="19" t="e">
        <f>(COUNTIF(#REF!, "Excellent") + COUNTIF(#REF!, "Good")) / COUNTIF(#REF!, "&lt;&gt;")</f>
        <v>#REF!</v>
      </c>
    </row>
    <row r="25" spans="1:2" ht="40" customHeight="1" x14ac:dyDescent="0.2">
      <c r="A25" s="14" t="s">
        <v>61</v>
      </c>
      <c r="B25" s="14"/>
    </row>
    <row r="26" spans="1:2" ht="30" customHeight="1" x14ac:dyDescent="0.2">
      <c r="A26" s="7" t="s">
        <v>56</v>
      </c>
      <c r="B26" s="23" t="s">
        <v>57</v>
      </c>
    </row>
    <row r="27" spans="1:2" x14ac:dyDescent="0.2">
      <c r="A27" s="4" t="s">
        <v>62</v>
      </c>
      <c r="B27" s="19" t="e">
        <f>(COUNTIF(#REF!, "Very Easy") + COUNTIF(#REF!, "Easy")) / COUNTIF(#REF!, "&lt;&gt;")</f>
        <v>#REF!</v>
      </c>
    </row>
    <row r="28" spans="1:2" x14ac:dyDescent="0.2">
      <c r="A28" s="4" t="s">
        <v>63</v>
      </c>
      <c r="B28" s="19" t="e">
        <f>(COUNTIF(#REF!, "Very Easy") + COUNTIF(#REF!, "Easy")) / COUNTIF(#REF!, "&lt;&gt;")</f>
        <v>#REF!</v>
      </c>
    </row>
    <row r="29" spans="1:2" x14ac:dyDescent="0.2">
      <c r="A29" s="4" t="s">
        <v>64</v>
      </c>
      <c r="B29" s="19" t="e">
        <f>(COUNTIF(#REF!, "Very Easy") + COUNTIF(#REF!, "Easy")) / COUNTIF(#REF!, "&lt;&gt;")</f>
        <v>#REF!</v>
      </c>
    </row>
    <row r="32" spans="1:2" ht="40" customHeight="1" x14ac:dyDescent="0.2">
      <c r="A32" s="15" t="s">
        <v>65</v>
      </c>
      <c r="B32" s="15"/>
    </row>
    <row r="33" spans="1:2" ht="30" customHeight="1" x14ac:dyDescent="0.2">
      <c r="A33" s="8" t="s">
        <v>56</v>
      </c>
      <c r="B33" s="24" t="s">
        <v>57</v>
      </c>
    </row>
    <row r="34" spans="1:2" x14ac:dyDescent="0.2">
      <c r="A34" s="4" t="s">
        <v>66</v>
      </c>
      <c r="B34" s="19" t="e">
        <f>(COUNTIF(#REF!, "Excellent") + COUNTIF(#REF!, "Good")) / COUNTIF(#REF!, "&lt;&gt;")</f>
        <v>#REF!</v>
      </c>
    </row>
    <row r="35" spans="1:2" x14ac:dyDescent="0.2">
      <c r="A35" s="4" t="s">
        <v>67</v>
      </c>
      <c r="B35" s="19" t="e">
        <f>(COUNTIF(#REF!, "Excellent") + COUNTIF(#REF!, "Good")) / COUNTIF(#REF!, "&lt;&gt;")</f>
        <v>#REF!</v>
      </c>
    </row>
    <row r="36" spans="1:2" x14ac:dyDescent="0.2">
      <c r="A36" s="4" t="s">
        <v>68</v>
      </c>
      <c r="B36" s="19" t="e">
        <f>(COUNTIF(#REF!, "Excellent") + COUNTIF(#REF!, "Good")) / COUNTIF(#REF!, "&lt;&gt;")</f>
        <v>#REF!</v>
      </c>
    </row>
  </sheetData>
  <mergeCells count="5">
    <mergeCell ref="A4:C4"/>
    <mergeCell ref="A11:C11"/>
    <mergeCell ref="A18:B18"/>
    <mergeCell ref="A25:B25"/>
    <mergeCell ref="A32:B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3CE4-75E9-4742-A37A-FA729E6F6328}">
  <dimension ref="A1:B9"/>
  <sheetViews>
    <sheetView workbookViewId="0"/>
  </sheetViews>
  <sheetFormatPr baseColWidth="10" defaultColWidth="8.83203125" defaultRowHeight="15" x14ac:dyDescent="0.2"/>
  <cols>
    <col min="1" max="1" width="2.83203125" bestFit="1" customWidth="1"/>
    <col min="2" max="2" width="45.6640625" bestFit="1" customWidth="1"/>
  </cols>
  <sheetData>
    <row r="1" spans="1:2" x14ac:dyDescent="0.2">
      <c r="A1" s="9" t="s">
        <v>0</v>
      </c>
      <c r="B1" s="9" t="s">
        <v>69</v>
      </c>
    </row>
    <row r="2" spans="1:2" x14ac:dyDescent="0.2">
      <c r="A2" s="4" cm="1">
        <f t="array" ref="A2:A9">IF(ISBLANK(OfficeForms.Table[Id]), "", OfficeForms.Table[Id])</f>
        <v>1</v>
      </c>
      <c r="B2" s="4" t="e" cm="1">
        <f t="array" ref="B2" xml:space="preserve"> IF(ISBLANK(#REF!), "",#REF!)</f>
        <v>#REF!</v>
      </c>
    </row>
    <row r="3" spans="1:2" x14ac:dyDescent="0.2">
      <c r="A3">
        <v>2</v>
      </c>
    </row>
    <row r="4" spans="1:2" x14ac:dyDescent="0.2">
      <c r="A4">
        <v>3</v>
      </c>
    </row>
    <row r="5" spans="1:2" x14ac:dyDescent="0.2">
      <c r="A5">
        <v>4</v>
      </c>
    </row>
    <row r="6" spans="1:2" x14ac:dyDescent="0.2">
      <c r="A6">
        <v>5</v>
      </c>
    </row>
    <row r="7" spans="1:2" x14ac:dyDescent="0.2">
      <c r="A7">
        <v>6</v>
      </c>
    </row>
    <row r="8" spans="1:2" x14ac:dyDescent="0.2">
      <c r="A8">
        <v>7</v>
      </c>
    </row>
    <row r="9" spans="1:2" x14ac:dyDescent="0.2">
      <c r="A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C6C4-8FDA-43CD-8F27-68F611F9B12F}">
  <dimension ref="A1:B9"/>
  <sheetViews>
    <sheetView workbookViewId="0"/>
  </sheetViews>
  <sheetFormatPr baseColWidth="10" defaultColWidth="8.83203125" defaultRowHeight="15" x14ac:dyDescent="0.2"/>
  <cols>
    <col min="1" max="1" width="2.83203125" bestFit="1" customWidth="1"/>
    <col min="2" max="2" width="40.1640625" bestFit="1" customWidth="1"/>
  </cols>
  <sheetData>
    <row r="1" spans="1:2" x14ac:dyDescent="0.2">
      <c r="A1" s="9" t="s">
        <v>0</v>
      </c>
      <c r="B1" s="9" t="s">
        <v>70</v>
      </c>
    </row>
    <row r="2" spans="1:2" x14ac:dyDescent="0.2">
      <c r="A2" s="4" cm="1">
        <f t="array" ref="A2:A9">IF(ISBLANK(OfficeForms.Table[Id]), "", OfficeForms.Table[Id])</f>
        <v>1</v>
      </c>
      <c r="B2" s="4" t="e" cm="1">
        <f t="array" ref="B2" xml:space="preserve"> IF(ISBLANK(#REF!), "",#REF!)</f>
        <v>#REF!</v>
      </c>
    </row>
    <row r="3" spans="1:2" x14ac:dyDescent="0.2">
      <c r="A3">
        <v>2</v>
      </c>
    </row>
    <row r="4" spans="1:2" x14ac:dyDescent="0.2">
      <c r="A4">
        <v>3</v>
      </c>
    </row>
    <row r="5" spans="1:2" x14ac:dyDescent="0.2">
      <c r="A5">
        <v>4</v>
      </c>
    </row>
    <row r="6" spans="1:2" x14ac:dyDescent="0.2">
      <c r="A6">
        <v>5</v>
      </c>
    </row>
    <row r="7" spans="1:2" x14ac:dyDescent="0.2">
      <c r="A7">
        <v>6</v>
      </c>
    </row>
    <row r="8" spans="1:2" x14ac:dyDescent="0.2">
      <c r="A8">
        <v>7</v>
      </c>
    </row>
    <row r="9" spans="1:2" x14ac:dyDescent="0.2">
      <c r="A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18F7-1936-45EA-A61A-D9FB12DAAC55}">
  <dimension ref="A1:B9"/>
  <sheetViews>
    <sheetView tabSelected="1" workbookViewId="0"/>
  </sheetViews>
  <sheetFormatPr baseColWidth="10" defaultColWidth="8.83203125" defaultRowHeight="15" x14ac:dyDescent="0.2"/>
  <cols>
    <col min="1" max="1" width="2.83203125" bestFit="1" customWidth="1"/>
    <col min="2" max="2" width="46.1640625" bestFit="1" customWidth="1"/>
  </cols>
  <sheetData>
    <row r="1" spans="1:2" x14ac:dyDescent="0.2">
      <c r="A1" s="9" t="s">
        <v>0</v>
      </c>
      <c r="B1" s="9" t="s">
        <v>11</v>
      </c>
    </row>
    <row r="2" spans="1:2" x14ac:dyDescent="0.2">
      <c r="A2" s="4" cm="1">
        <f t="array" ref="A2:A9">IF(ISBLANK(OfficeForms.Table[Id]), "", OfficeForms.Table[Id])</f>
        <v>1</v>
      </c>
      <c r="B2" s="4" t="str" cm="1">
        <f t="array" ref="B2:B9">IF(ISBLANK(OfficeForms.Table[Any additional suggestions for enhancing our service?]), "", OfficeForms.Table[Any additional suggestions for enhancing our service?])</f>
        <v>Better pricing and friendlier staff</v>
      </c>
    </row>
    <row r="3" spans="1:2" x14ac:dyDescent="0.2">
      <c r="A3">
        <v>2</v>
      </c>
      <c r="B3" t="str">
        <v/>
      </c>
    </row>
    <row r="4" spans="1:2" x14ac:dyDescent="0.2">
      <c r="A4">
        <v>3</v>
      </c>
      <c r="B4" t="str">
        <v/>
      </c>
    </row>
    <row r="5" spans="1:2" x14ac:dyDescent="0.2">
      <c r="A5">
        <v>4</v>
      </c>
      <c r="B5" t="str">
        <v/>
      </c>
    </row>
    <row r="6" spans="1:2" x14ac:dyDescent="0.2">
      <c r="A6">
        <v>5</v>
      </c>
      <c r="B6" t="str">
        <v/>
      </c>
    </row>
    <row r="7" spans="1:2" x14ac:dyDescent="0.2">
      <c r="A7">
        <v>6</v>
      </c>
      <c r="B7" t="str">
        <v/>
      </c>
    </row>
    <row r="8" spans="1:2" x14ac:dyDescent="0.2">
      <c r="A8">
        <v>7</v>
      </c>
      <c r="B8" t="str">
        <v>N/A</v>
      </c>
    </row>
    <row r="9" spans="1:2" x14ac:dyDescent="0.2">
      <c r="A9">
        <v>8</v>
      </c>
      <c r="B9" t="str">
        <v>Great food and service. It would be nice to have faster service during busy hours and more combo meal options.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Responses</vt:lpstr>
      <vt:lpstr>Summary</vt:lpstr>
      <vt:lpstr>Likes</vt:lpstr>
      <vt:lpstr>Improvements</vt:lpstr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Fuat Berk Başlar</cp:lastModifiedBy>
  <cp:revision/>
  <dcterms:created xsi:type="dcterms:W3CDTF">2026-04-09T18:17:59Z</dcterms:created>
  <dcterms:modified xsi:type="dcterms:W3CDTF">2026-04-10T19:20:13Z</dcterms:modified>
  <cp:category/>
  <cp:contentStatus/>
</cp:coreProperties>
</file>