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Year-Up_DataAnalytics/pre-week-2/"/>
    </mc:Choice>
  </mc:AlternateContent>
  <xr:revisionPtr revIDLastSave="0" documentId="13_ncr:1_{9103D241-94B7-A748-97AD-18D631651ED1}" xr6:coauthVersionLast="47" xr6:coauthVersionMax="47" xr10:uidLastSave="{00000000-0000-0000-0000-000000000000}"/>
  <bookViews>
    <workbookView xWindow="0" yWindow="0" windowWidth="51200" windowHeight="28800" activeTab="1" xr2:uid="{CFFD4943-2B2F-EF4E-987B-C1E32B782956}"/>
  </bookViews>
  <sheets>
    <sheet name="Store Sales" sheetId="1" r:id="rId1"/>
    <sheet name="Store Summary" sheetId="2" r:id="rId2"/>
  </sheets>
  <definedNames>
    <definedName name="_xlchart.v1.0" hidden="1">'Store Sales'!$D$13</definedName>
    <definedName name="_xlchart.v1.1" hidden="1">'Store Sales'!$D$13</definedName>
    <definedName name="_xlchart.v1.2" hidden="1">'Store Sales'!$D$13</definedName>
    <definedName name="_xlchart.v1.3" hidden="1">'Store Summary'!$D$4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6" i="1"/>
  <c r="E5" i="1"/>
  <c r="E4" i="1"/>
  <c r="E3" i="1"/>
</calcChain>
</file>

<file path=xl/sharedStrings.xml><?xml version="1.0" encoding="utf-8"?>
<sst xmlns="http://schemas.openxmlformats.org/spreadsheetml/2006/main" count="19" uniqueCount="19">
  <si>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</si>
  <si>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</si>
  <si>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</si>
  <si>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</si>
  <si>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</si>
  <si>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</si>
  <si>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</si>
  <si>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</si>
  <si>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</si>
  <si>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</si>
  <si>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</si>
  <si>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</si>
  <si>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</si>
  <si>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</si>
  <si>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</si>
  <si>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</si>
  <si>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</si>
  <si>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</si>
  <si>
    <t>Store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</si>
</sst>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2" fillId="2" borderId="1" xfId="1"/>
    <xf numFmtId="0" fontId="1" fillId="4" borderId="1" xfId="3" applyBorder="1"/>
    <xf numFmtId="0" fontId="1" fillId="3" borderId="1" xfId="2" applyBorder="1"/>
  </cellXfs>
  <cellStyles count="4">
    <cellStyle name="20% - Accent6" xfId="3" builtinId="50"/>
    <cellStyle name="40% - Accent1" xfId="2" builtinId="31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66535767103746"/>
          <c:y val="0.2026117230336261"/>
          <c:w val="0.76097345082980417"/>
          <c:h val="0.710160761075258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'Store Sales'!$B$1</c:f>
              <c:strCache>
                <c:ptCount val="1"/>
                <c:pt idx="0">
                  <c:v>Monthly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Sales'!$A$2:$A$13</c:f>
              <c:strCache>
                <c:ptCount val="12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  <c:pt idx="4">
                  <c:v>Store E</c:v>
                </c:pt>
                <c:pt idx="5">
                  <c:v>Store F</c:v>
                </c:pt>
                <c:pt idx="6">
                  <c:v>Store G</c:v>
                </c:pt>
                <c:pt idx="7">
                  <c:v>Store H</c:v>
                </c:pt>
                <c:pt idx="8">
                  <c:v>Store I</c:v>
                </c:pt>
                <c:pt idx="9">
                  <c:v>Store J</c:v>
                </c:pt>
                <c:pt idx="10">
                  <c:v>Store K</c:v>
                </c:pt>
                <c:pt idx="11">
                  <c:v>Store L</c:v>
                </c:pt>
              </c:strCache>
            </c:strRef>
          </c:cat>
          <c:val>
            <c:numRef>
              <c:f>'Store Sales'!$B$2:$B$13</c:f>
              <c:numCache>
                <c:formatCode>General</c:formatCode>
                <c:ptCount val="12"/>
                <c:pt idx="0">
                  <c:v>51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52</c:v>
                </c:pt>
                <c:pt idx="5">
                  <c:v>47</c:v>
                </c:pt>
                <c:pt idx="6">
                  <c:v>45</c:v>
                </c:pt>
                <c:pt idx="7">
                  <c:v>72</c:v>
                </c:pt>
                <c:pt idx="8">
                  <c:v>43</c:v>
                </c:pt>
                <c:pt idx="9">
                  <c:v>48</c:v>
                </c:pt>
                <c:pt idx="10">
                  <c:v>46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8-6440-A077-91974BEFC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5472703"/>
        <c:axId val="1285479423"/>
      </c:barChart>
      <c:catAx>
        <c:axId val="128547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79423"/>
        <c:crosses val="autoZero"/>
        <c:auto val="1"/>
        <c:lblAlgn val="ctr"/>
        <c:lblOffset val="100"/>
        <c:noMultiLvlLbl val="0"/>
      </c:catAx>
      <c:valAx>
        <c:axId val="128547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7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428676</xdr:colOff>
      <xdr:row>2</xdr:row>
      <xdr:rowOff>4006</xdr:rowOff>
    </xdr:from>
    <xdr:to>
      <xdr:col>10</xdr:col>
      <xdr:colOff>150059</xdr:colOff>
      <xdr:row>14</xdr:row>
      <xdr:rowOff>203558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3F440-515E-AE42-BD6A-9B8184A8A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15</xdr:row>
      <xdr:rowOff>0</xdr:rowOff>
    </xdr:from>
    <xdr:ext cx="2043678" cy="2644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A437F5-DE8E-6C4A-BCA0-28EB93EA9719}"/>
            </a:ext>
          </a:extLst>
        </xdr:cNvPr>
        <xdr:cNvSpPr txBox="1"/>
      </xdr:nvSpPr>
      <xdr:spPr>
        <a:xfrm>
          <a:off x="825500" y="3016250"/>
          <a:ext cx="2043678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576792</xdr:colOff>
      <xdr:row>5</xdr:row>
      <xdr:rowOff>100541</xdr:rowOff>
    </xdr:from>
    <xdr:to>
      <xdr:col>3</xdr:col>
      <xdr:colOff>719667</xdr:colOff>
      <xdr:row>11</xdr:row>
      <xdr:rowOff>52916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7981FA-79EB-9F70-F99F-DBC12D69DB3C}"/>
            </a:ext>
          </a:extLst>
        </xdr:cNvPr>
        <xdr:cNvSpPr txBox="1"/>
      </xdr:nvSpPr>
      <xdr:spPr>
        <a:xfrm>
          <a:off x="576792" y="1105958"/>
          <a:ext cx="2619375" cy="115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Although most stores maintained their expected averages, Store H outperformed, raising the overall average. Store I and Store B stayed below average, but I attribute this to seasonal factors rather than a significant drop.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8007-FF8D-6C42-B8AB-125D20FF6277}">
  <dimension ref="A1:E13"/>
  <sheetViews>
    <sheetView zoomScale="174" workbookViewId="0">
      <selection activeCell="A10" sqref="A10"/>
    </sheetView>
  </sheetViews>
  <sheetFormatPr baseColWidth="10" defaultRowHeight="16" x14ac:dyDescent="0.2"/>
  <cols>
    <col min="2" max="2" width="12.5" customWidth="1"/>
    <col min="3" max="3" width="13.6640625" customWidth="1"/>
    <col min="4" max="4" width="16.6640625" customWidth="1"/>
    <col min="5" max="5" width="12.33203125" customWidth="1"/>
  </cols>
  <sheetData>
    <row r="1" spans="1:5" x14ac:dyDescent="0.2">
      <c r="A1" s="3" t="s">
        <v>0</v>
      </c>
      <c r="B1" s="2" t="s">
        <v>1</v>
      </c>
    </row>
    <row r="2" spans="1:5" x14ac:dyDescent="0.2">
      <c r="A2" s="3" t="s">
        <v>2</v>
      </c>
      <c r="B2" s="2">
        <v>51</v>
      </c>
      <c r="D2" s="1" t="s">
        <v>13</v>
      </c>
      <c r="E2" s="1">
        <f>AVERAGE(B2:B13)</f>
        <v>49.416666666666664</v>
      </c>
    </row>
    <row r="3" spans="1:5" x14ac:dyDescent="0.2">
      <c r="A3" s="3" t="s">
        <v>3</v>
      </c>
      <c r="B3" s="2">
        <v>44</v>
      </c>
      <c r="D3" s="1" t="s">
        <v>14</v>
      </c>
      <c r="E3" s="1">
        <f>MEDIAN(B2:B13)</f>
        <v>47.5</v>
      </c>
    </row>
    <row r="4" spans="1:5" x14ac:dyDescent="0.2">
      <c r="A4" s="3" t="s">
        <v>4</v>
      </c>
      <c r="B4" s="2">
        <v>49</v>
      </c>
      <c r="D4" s="1" t="s">
        <v>15</v>
      </c>
      <c r="E4" s="1">
        <f>_xlfn.MODE.SNGL(B2:B13)</f>
        <v>46</v>
      </c>
    </row>
    <row r="5" spans="1:5" x14ac:dyDescent="0.2">
      <c r="A5" s="3" t="s">
        <v>5</v>
      </c>
      <c r="B5" s="2">
        <v>46</v>
      </c>
      <c r="D5" s="1" t="s">
        <v>16</v>
      </c>
      <c r="E5" s="1">
        <f>MAX(B2:B13)-MIN(B2:B13)</f>
        <v>29</v>
      </c>
    </row>
    <row r="6" spans="1:5" x14ac:dyDescent="0.2">
      <c r="A6" s="3" t="s">
        <v>6</v>
      </c>
      <c r="B6" s="2">
        <v>52</v>
      </c>
      <c r="D6" s="1" t="s">
        <v>17</v>
      </c>
      <c r="E6" s="1">
        <f>_xlfn.STDEV.S(B2:B13)</f>
        <v>7.6331613054586773</v>
      </c>
    </row>
    <row r="7" spans="1:5" x14ac:dyDescent="0.2">
      <c r="A7" s="3" t="s">
        <v>7</v>
      </c>
      <c r="B7" s="2">
        <v>47</v>
      </c>
    </row>
    <row r="8" spans="1:5" x14ac:dyDescent="0.2">
      <c r="A8" s="3" t="s">
        <v>8</v>
      </c>
      <c r="B8" s="2">
        <v>45</v>
      </c>
    </row>
    <row r="9" spans="1:5" x14ac:dyDescent="0.2">
      <c r="A9" s="3" t="s">
        <v>9</v>
      </c>
      <c r="B9" s="2">
        <v>72</v>
      </c>
    </row>
    <row r="10" spans="1:5" x14ac:dyDescent="0.2">
      <c r="A10" s="3" t="s">
        <v>18</v>
      </c>
      <c r="B10" s="2">
        <v>43</v>
      </c>
    </row>
    <row r="11" spans="1:5" x14ac:dyDescent="0.2">
      <c r="A11" s="3" t="s">
        <v>10</v>
      </c>
      <c r="B11" s="2">
        <v>48</v>
      </c>
    </row>
    <row r="12" spans="1:5" x14ac:dyDescent="0.2">
      <c r="A12" s="3" t="s">
        <v>11</v>
      </c>
      <c r="B12" s="2">
        <v>46</v>
      </c>
    </row>
    <row r="13" spans="1:5" x14ac:dyDescent="0.2">
      <c r="A13" s="3" t="s">
        <v>12</v>
      </c>
      <c r="B13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C2D6-996E-D844-83A4-19AECC77529A}">
  <dimension ref="A1"/>
  <sheetViews>
    <sheetView tabSelected="1" zoomScale="240" workbookViewId="0">
      <selection activeCell="D4" sqref="D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Sales</vt:lpstr>
      <vt:lpstr>Store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2026-03-27T15:13:25Z</dcterms:created>
  <dcterms:modified xsi:type="dcterms:W3CDTF">2026-03-27T16:01:07Z</dcterms:modified>
</cp:coreProperties>
</file>